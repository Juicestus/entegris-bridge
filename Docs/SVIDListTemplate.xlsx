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derso\OneDrive - Entegris\Documents\Pump Training Oct '05\Network Platform\NP2 - Tarts\"/>
    </mc:Choice>
  </mc:AlternateContent>
  <xr:revisionPtr revIDLastSave="0" documentId="13_ncr:1_{278F5D6F-51C4-404E-873C-31F3F0779616}" xr6:coauthVersionLast="47" xr6:coauthVersionMax="47" xr10:uidLastSave="{00000000-0000-0000-0000-000000000000}"/>
  <bookViews>
    <workbookView xWindow="57480" yWindow="-120" windowWidth="29040" windowHeight="15840" xr2:uid="{F8242A78-2D97-4FAF-A5C7-55AD6DECCE33}"/>
  </bookViews>
  <sheets>
    <sheet name="Track_Name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" i="1" l="1"/>
  <c r="H29" i="1" l="1"/>
  <c r="I29" i="1"/>
  <c r="J29" i="1"/>
  <c r="K29" i="1"/>
  <c r="L29" i="1"/>
  <c r="M29" i="1"/>
  <c r="N29" i="1"/>
  <c r="O29" i="1"/>
  <c r="H23" i="1"/>
  <c r="I23" i="1"/>
  <c r="J23" i="1"/>
  <c r="K23" i="1"/>
  <c r="L23" i="1"/>
  <c r="M23" i="1"/>
  <c r="N23" i="1"/>
  <c r="O23" i="1"/>
  <c r="H22" i="1"/>
  <c r="I22" i="1"/>
  <c r="J22" i="1"/>
  <c r="K22" i="1"/>
  <c r="L22" i="1"/>
  <c r="M22" i="1"/>
  <c r="N22" i="1"/>
  <c r="O22" i="1"/>
  <c r="H34" i="1"/>
  <c r="I34" i="1"/>
  <c r="J34" i="1"/>
  <c r="K34" i="1"/>
  <c r="L34" i="1"/>
  <c r="M34" i="1"/>
  <c r="N34" i="1"/>
  <c r="O34" i="1"/>
  <c r="O33" i="1"/>
  <c r="N33" i="1"/>
  <c r="M33" i="1"/>
  <c r="L33" i="1"/>
  <c r="K33" i="1"/>
  <c r="J33" i="1"/>
  <c r="I33" i="1"/>
  <c r="H33" i="1"/>
  <c r="O32" i="1"/>
  <c r="N32" i="1"/>
  <c r="M32" i="1"/>
  <c r="L32" i="1"/>
  <c r="K32" i="1"/>
  <c r="J32" i="1"/>
  <c r="I32" i="1"/>
  <c r="H32" i="1"/>
  <c r="O31" i="1"/>
  <c r="N31" i="1"/>
  <c r="M31" i="1"/>
  <c r="L31" i="1"/>
  <c r="K31" i="1"/>
  <c r="J31" i="1"/>
  <c r="I31" i="1"/>
  <c r="H31" i="1"/>
  <c r="O28" i="1"/>
  <c r="N28" i="1"/>
  <c r="M28" i="1"/>
  <c r="L28" i="1"/>
  <c r="K28" i="1"/>
  <c r="J28" i="1"/>
  <c r="I28" i="1"/>
  <c r="H28" i="1"/>
  <c r="O27" i="1"/>
  <c r="N27" i="1"/>
  <c r="M27" i="1"/>
  <c r="L27" i="1"/>
  <c r="K27" i="1"/>
  <c r="J27" i="1"/>
  <c r="I27" i="1"/>
  <c r="H27" i="1"/>
  <c r="O26" i="1"/>
  <c r="N26" i="1"/>
  <c r="M26" i="1"/>
  <c r="L26" i="1"/>
  <c r="K26" i="1"/>
  <c r="J26" i="1"/>
  <c r="I26" i="1"/>
  <c r="H26" i="1"/>
  <c r="O25" i="1"/>
  <c r="N25" i="1"/>
  <c r="M25" i="1"/>
  <c r="L25" i="1"/>
  <c r="K25" i="1"/>
  <c r="J25" i="1"/>
  <c r="I25" i="1"/>
  <c r="H25" i="1"/>
  <c r="O24" i="1"/>
  <c r="N24" i="1"/>
  <c r="M24" i="1"/>
  <c r="L24" i="1"/>
  <c r="K24" i="1"/>
  <c r="J24" i="1"/>
  <c r="I24" i="1"/>
  <c r="H24" i="1"/>
  <c r="O21" i="1"/>
  <c r="N21" i="1"/>
  <c r="M21" i="1"/>
  <c r="L21" i="1"/>
  <c r="K21" i="1"/>
  <c r="J21" i="1"/>
  <c r="I21" i="1"/>
  <c r="H21" i="1"/>
  <c r="O20" i="1"/>
  <c r="N20" i="1"/>
  <c r="M20" i="1"/>
  <c r="L20" i="1"/>
  <c r="K20" i="1"/>
  <c r="J20" i="1"/>
  <c r="I20" i="1"/>
  <c r="H20" i="1"/>
  <c r="O19" i="1"/>
  <c r="N19" i="1"/>
  <c r="M19" i="1"/>
  <c r="L19" i="1"/>
  <c r="K19" i="1"/>
  <c r="J19" i="1"/>
  <c r="I19" i="1"/>
  <c r="H19" i="1"/>
  <c r="O18" i="1"/>
  <c r="N18" i="1"/>
  <c r="M18" i="1"/>
  <c r="L18" i="1"/>
  <c r="K18" i="1"/>
  <c r="J18" i="1"/>
  <c r="I18" i="1"/>
  <c r="H18" i="1"/>
  <c r="O17" i="1"/>
  <c r="N17" i="1"/>
  <c r="M17" i="1"/>
  <c r="L17" i="1"/>
  <c r="K17" i="1"/>
  <c r="J17" i="1"/>
  <c r="I17" i="1"/>
  <c r="H17" i="1"/>
  <c r="O16" i="1"/>
  <c r="N16" i="1"/>
  <c r="M16" i="1"/>
  <c r="L16" i="1"/>
  <c r="K16" i="1"/>
  <c r="J16" i="1"/>
  <c r="I16" i="1"/>
  <c r="H16" i="1"/>
  <c r="O15" i="1"/>
  <c r="N15" i="1"/>
  <c r="M15" i="1"/>
  <c r="L15" i="1"/>
  <c r="K15" i="1"/>
  <c r="J15" i="1"/>
  <c r="I15" i="1"/>
  <c r="H15" i="1"/>
  <c r="O14" i="1"/>
  <c r="N14" i="1"/>
  <c r="M14" i="1"/>
  <c r="L14" i="1"/>
  <c r="K14" i="1"/>
  <c r="J14" i="1"/>
  <c r="I14" i="1"/>
  <c r="H14" i="1"/>
  <c r="O13" i="1"/>
  <c r="N13" i="1"/>
  <c r="M13" i="1"/>
  <c r="L13" i="1"/>
  <c r="K13" i="1"/>
  <c r="J13" i="1"/>
  <c r="I13" i="1"/>
  <c r="H13" i="1"/>
  <c r="O12" i="1"/>
  <c r="N12" i="1"/>
  <c r="M12" i="1"/>
  <c r="L12" i="1"/>
  <c r="K12" i="1"/>
  <c r="J12" i="1"/>
  <c r="I12" i="1"/>
  <c r="H12" i="1"/>
  <c r="O10" i="1"/>
  <c r="N10" i="1"/>
  <c r="M10" i="1"/>
  <c r="L10" i="1"/>
  <c r="K10" i="1"/>
  <c r="J10" i="1"/>
  <c r="I10" i="1"/>
  <c r="H10" i="1"/>
  <c r="O9" i="1"/>
  <c r="N9" i="1"/>
  <c r="M9" i="1"/>
  <c r="L9" i="1"/>
  <c r="K9" i="1"/>
  <c r="J9" i="1"/>
  <c r="I9" i="1"/>
  <c r="H9" i="1"/>
  <c r="O8" i="1"/>
  <c r="N8" i="1"/>
  <c r="M8" i="1"/>
  <c r="L8" i="1"/>
  <c r="K8" i="1"/>
  <c r="J8" i="1"/>
  <c r="I8" i="1"/>
  <c r="H8" i="1"/>
  <c r="O7" i="1"/>
  <c r="N7" i="1"/>
  <c r="M7" i="1"/>
  <c r="L7" i="1"/>
  <c r="K7" i="1"/>
  <c r="J7" i="1"/>
  <c r="I7" i="1"/>
  <c r="H7" i="1"/>
  <c r="O6" i="1"/>
  <c r="N6" i="1"/>
  <c r="M6" i="1"/>
  <c r="L6" i="1"/>
  <c r="J6" i="1"/>
  <c r="I6" i="1"/>
  <c r="H6" i="1"/>
</calcChain>
</file>

<file path=xl/sharedStrings.xml><?xml version="1.0" encoding="utf-8"?>
<sst xmlns="http://schemas.openxmlformats.org/spreadsheetml/2006/main" count="120" uniqueCount="80">
  <si>
    <t>SVID</t>
  </si>
  <si>
    <t>Size</t>
  </si>
  <si>
    <t>Type</t>
  </si>
  <si>
    <t>Data</t>
  </si>
  <si>
    <t>Description</t>
  </si>
  <si>
    <t>SystemNames.ToolName[24]</t>
  </si>
  <si>
    <t>SystemNames.CoaterName[24]</t>
  </si>
  <si>
    <t>SystemNames.NozzleName[24]</t>
  </si>
  <si>
    <t>SystemNames.ResistName[24]</t>
  </si>
  <si>
    <t>SystemNames.PumpName[24]</t>
  </si>
  <si>
    <t>STRING</t>
  </si>
  <si>
    <t>Tool Name</t>
  </si>
  <si>
    <t>Coater Name</t>
  </si>
  <si>
    <t>Nozzle Name</t>
  </si>
  <si>
    <t>Resist Name</t>
  </si>
  <si>
    <t>Pump Name</t>
  </si>
  <si>
    <t>INT16</t>
  </si>
  <si>
    <t>RTStatus.Status</t>
  </si>
  <si>
    <t>System Status</t>
  </si>
  <si>
    <t>DispenseInfo.ReadyPressure</t>
  </si>
  <si>
    <t>Ready - Ready Pressure</t>
  </si>
  <si>
    <t>DispenseInfo.Confirmation</t>
  </si>
  <si>
    <t>Dispense - Pressure Profile Compare</t>
  </si>
  <si>
    <t>DispenseInfo.PeakPressure</t>
  </si>
  <si>
    <t>Dispense - Maximum Pressure</t>
  </si>
  <si>
    <t>DispenseInfo.AveragePressure</t>
  </si>
  <si>
    <t>Dispense - Average Pressure</t>
  </si>
  <si>
    <t>DispenseInfo.CutoffPressure</t>
  </si>
  <si>
    <t>Dispense - Cutoff Pressure</t>
  </si>
  <si>
    <t>Dispense - Average Motor Rate</t>
  </si>
  <si>
    <t>Units</t>
  </si>
  <si>
    <t>Dispense - Total Motor Volume</t>
  </si>
  <si>
    <t>Dispense - Air Detect Volume</t>
  </si>
  <si>
    <t>Filtration - Average Delta Pressure</t>
  </si>
  <si>
    <t>Filtration - Maximum Upstream Pressure</t>
  </si>
  <si>
    <t>Vent - Total Time</t>
  </si>
  <si>
    <t>Fill - Minimum Fill Pressure</t>
  </si>
  <si>
    <t>Fill - Average Motor Rate</t>
  </si>
  <si>
    <t>Fill - Total Time</t>
  </si>
  <si>
    <t>Cycle - Total Time</t>
  </si>
  <si>
    <t>mPSI</t>
  </si>
  <si>
    <t>uL/sec</t>
  </si>
  <si>
    <t>DispenseInfo.TotalVolume</t>
  </si>
  <si>
    <t>DispenseInfo.AverageRate</t>
  </si>
  <si>
    <t>uL</t>
  </si>
  <si>
    <t>DispenseInfo.AirDetect</t>
  </si>
  <si>
    <t>DispenseInfo.AverageDeltaPressure</t>
  </si>
  <si>
    <t>DispenseInfo.MaxFiltrationPrs</t>
  </si>
  <si>
    <t>DispenseInfo.VentTime</t>
  </si>
  <si>
    <t>DispenseInfo.FillTime</t>
  </si>
  <si>
    <t>DispenseInfo.CycleTime</t>
  </si>
  <si>
    <t>msec</t>
  </si>
  <si>
    <t>DispenseInfo.AverageFillRate</t>
  </si>
  <si>
    <t>RTStatus.LastDispenseVol_uL</t>
  </si>
  <si>
    <t>Last Dispensed Total volume</t>
  </si>
  <si>
    <t>ULONG</t>
  </si>
  <si>
    <t>RtStatus.LastDispenseCycle</t>
  </si>
  <si>
    <t>Last Dispensed Cycle</t>
  </si>
  <si>
    <t>Track ID</t>
  </si>
  <si>
    <t>COM Port</t>
  </si>
  <si>
    <t>Pump RS422 Address</t>
  </si>
  <si>
    <t>Unique SVID/pump</t>
  </si>
  <si>
    <t>Text</t>
  </si>
  <si>
    <t>% (whole number)</t>
  </si>
  <si>
    <t>IP Address:Port</t>
  </si>
  <si>
    <t>RtStatus.ProfileCycle</t>
  </si>
  <si>
    <t>Most recent profile cycle</t>
  </si>
  <si>
    <t>pump cycle (whole number)</t>
  </si>
  <si>
    <t>pump cycles (whole number)</t>
  </si>
  <si>
    <t>DispenseInfo.MinFillPrs</t>
  </si>
  <si>
    <t>DispenseInfo.FiltrationRate</t>
  </si>
  <si>
    <t>Filtration - Average Motor Rate</t>
  </si>
  <si>
    <t>DispenseInfo.FiltrationTime</t>
  </si>
  <si>
    <t>Filtration - Total Time</t>
  </si>
  <si>
    <t>DispenseInfo.Time</t>
  </si>
  <si>
    <t>Time of dispense (trigger)</t>
  </si>
  <si>
    <t>seconds (UTC seconds from 1 Jan 1970)</t>
  </si>
  <si>
    <t>UINT16</t>
  </si>
  <si>
    <t>Track_name</t>
  </si>
  <si>
    <t>xxx.xxx.xxx.xxx:4000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</si>
</sst>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Bytes&quot;"/>
  </numFmts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2" fillId="3" borderId="2" xfId="2" applyAlignment="1">
      <alignment vertical="center"/>
    </xf>
    <xf numFmtId="0" fontId="2" fillId="3" borderId="2" xfId="2" applyAlignment="1">
      <alignment horizontal="centerContinuous" vertical="center"/>
    </xf>
    <xf numFmtId="0" fontId="1" fillId="2" borderId="1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3" borderId="2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alculation" xfId="1" builtinId="22"/>
    <cellStyle name="Check Cell" xfId="2" builtinId="23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mruColors>
      <color rgb="FFFA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447676</xdr:colOff>
      <xdr:row>1</xdr:row>
      <xdr:rowOff>100012</xdr:rowOff>
    </xdr:from>
    <xdr:ext cx="5019674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C6F051-F77A-4DA2-B2FF-002F6F8D23EC}"/>
                </a:ext>
              </a:extLst>
            </xdr:cNvPr>
            <xdr:cNvSpPr txBox="1"/>
          </xdr:nvSpPr>
          <xdr:spPr>
            <a:xfrm>
              <a:off x="1666876" y="290512"/>
              <a:ext cx="5019674" cy="18575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FA7D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A7D00"/>
                            </a:solidFill>
                            <a:latin typeface="Cambria Math" panose="02040503050406030204" pitchFamily="18" charset="0"/>
                          </a:rPr>
                          <m:t>𝑆𝑉𝐼𝐷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A7D00"/>
                            </a:solidFill>
                            <a:latin typeface="Cambria Math" panose="02040503050406030204" pitchFamily="18" charset="0"/>
                          </a:rPr>
                          <m:t>𝑈𝑛𝑖𝑞𝑢𝑒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𝐶𝑂𝑀</m:t>
                        </m:r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𝑃𝑜𝑟𝑡</m:t>
                        </m:r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 −1) 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24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𝑅𝑆</m:t>
                        </m:r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422 </m:t>
                        </m:r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𝐴𝑑𝑑𝑟𝑒𝑠𝑠</m:t>
                        </m:r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16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𝑆𝑉𝐼𝐷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C6F051-F77A-4DA2-B2FF-002F6F8D23EC}"/>
                </a:ext>
              </a:extLst>
            </xdr:cNvPr>
            <xdr:cNvSpPr txBox="1"/>
          </xdr:nvSpPr>
          <xdr:spPr>
            <a:xfrm>
              <a:off x="1666876" y="290512"/>
              <a:ext cx="5019674" cy="18575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rgbClr val="FA7D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solidFill>
                    <a:srgbClr val="FA7D00"/>
                  </a:solidFill>
                  <a:latin typeface="Cambria Math" panose="02040503050406030204" pitchFamily="18" charset="0"/>
                </a:rPr>
                <a:t>𝑆𝑉𝐼𝐷〗_𝑈𝑛𝑖𝑞𝑢𝑒</a:t>
              </a:r>
              <a:r>
                <a:rPr lang="en-US" sz="1100" b="0" i="0">
                  <a:latin typeface="Cambria Math" panose="02040503050406030204" pitchFamily="18" charset="0"/>
                </a:rPr>
                <a:t>=((</a:t>
              </a:r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𝐶𝑂𝑀 𝑃𝑜𝑟𝑡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−1) 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2^24 )+(</a:t>
              </a:r>
              <a:r>
                <a:rPr lang="en-US" sz="1100" b="0" i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𝑅𝑆422 𝐴𝑑𝑑𝑟𝑒𝑠𝑠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2^16 )+ 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〖𝑆𝑉𝐼𝐷〗_𝐵𝑎𝑠𝑒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2DB-9A37-42C4-843D-C16AF43BE67E}">
  <dimension ref="A1:O47"/>
  <sheetViews>
    <sheetView tabSelected="1" workbookViewId="0">
      <selection activeCell="H6" sqref="H6"/>
    </sheetView>
  </sheetViews>
  <sheetFormatPr defaultRowHeight="15" x14ac:dyDescent="0.25"/>
  <cols>
    <col min="1" max="2" width="9.140625" style="1"/>
    <col min="3" max="3" width="9.140625" style="1" customWidth="1"/>
    <col min="4" max="4" width="33.85546875" style="1" bestFit="1" customWidth="1"/>
    <col min="5" max="5" width="37.5703125" style="1" bestFit="1" customWidth="1"/>
    <col min="6" max="6" width="35.7109375" style="1" bestFit="1" customWidth="1"/>
    <col min="7" max="7" width="19.5703125" style="1" bestFit="1" customWidth="1"/>
    <col min="8" max="15" width="10" style="1" bestFit="1" customWidth="1"/>
    <col min="16" max="16384" width="9.140625" style="1"/>
  </cols>
  <sheetData>
    <row r="1" spans="1:15" x14ac:dyDescent="0.25">
      <c r="G1" s="3" t="s">
        <v>58</v>
      </c>
      <c r="H1" s="13" t="s">
        <v>78</v>
      </c>
      <c r="I1" s="13"/>
      <c r="J1" s="13"/>
      <c r="K1" s="13"/>
      <c r="L1" s="13"/>
      <c r="M1" s="13"/>
      <c r="N1" s="13"/>
      <c r="O1" s="13"/>
    </row>
    <row r="2" spans="1:15" x14ac:dyDescent="0.25">
      <c r="G2" s="3" t="s">
        <v>64</v>
      </c>
      <c r="H2" s="13" t="s">
        <v>79</v>
      </c>
      <c r="I2" s="13"/>
      <c r="J2" s="13"/>
      <c r="K2" s="13"/>
      <c r="L2" s="13"/>
      <c r="M2" s="13"/>
      <c r="N2" s="13"/>
      <c r="O2" s="13"/>
    </row>
    <row r="3" spans="1:15" x14ac:dyDescent="0.25">
      <c r="G3" s="9" t="s">
        <v>59</v>
      </c>
      <c r="H3" s="12">
        <v>1</v>
      </c>
      <c r="I3" s="12"/>
      <c r="J3" s="12"/>
      <c r="K3" s="12"/>
      <c r="L3" s="12"/>
      <c r="M3" s="12"/>
      <c r="N3" s="12"/>
      <c r="O3" s="12"/>
    </row>
    <row r="4" spans="1:15" ht="15.75" thickBot="1" x14ac:dyDescent="0.3">
      <c r="G4" s="10" t="s">
        <v>60</v>
      </c>
      <c r="H4" s="7">
        <v>1</v>
      </c>
      <c r="I4" s="7">
        <v>2</v>
      </c>
      <c r="J4" s="7"/>
      <c r="K4" s="7"/>
      <c r="L4" s="7"/>
      <c r="M4" s="7"/>
      <c r="N4" s="7"/>
      <c r="O4" s="7"/>
    </row>
    <row r="5" spans="1:15" ht="16.5" thickTop="1" thickBot="1" x14ac:dyDescent="0.3">
      <c r="A5" s="11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30</v>
      </c>
      <c r="H5" s="5" t="s">
        <v>61</v>
      </c>
      <c r="I5" s="5"/>
      <c r="J5" s="5"/>
      <c r="K5" s="5"/>
      <c r="L5" s="5"/>
      <c r="M5" s="5"/>
      <c r="N5" s="5"/>
      <c r="O5" s="5"/>
    </row>
    <row r="6" spans="1:15" ht="15.75" thickTop="1" x14ac:dyDescent="0.25">
      <c r="A6" s="8">
        <v>14</v>
      </c>
      <c r="B6" s="2">
        <v>24</v>
      </c>
      <c r="C6" s="1" t="s">
        <v>10</v>
      </c>
      <c r="D6" s="1" t="s">
        <v>5</v>
      </c>
      <c r="E6" s="1" t="s">
        <v>11</v>
      </c>
      <c r="F6" s="1" t="s">
        <v>62</v>
      </c>
      <c r="H6" s="6">
        <f>(($H$3-1)*(2^24))+(H$4*(2^16))+$A6</f>
        <v>65550</v>
      </c>
      <c r="I6" s="6">
        <f t="shared" ref="I6:O23" si="0">(($H$3-1)*(2^24))+(I$4*(2^16))+$A6</f>
        <v>131086</v>
      </c>
      <c r="J6" s="6">
        <f t="shared" si="0"/>
        <v>14</v>
      </c>
      <c r="K6" s="6">
        <f>(($H$3-1)*(2^24))+(K$4*(2^16))+$A6</f>
        <v>14</v>
      </c>
      <c r="L6" s="6">
        <f t="shared" si="0"/>
        <v>14</v>
      </c>
      <c r="M6" s="6">
        <f t="shared" si="0"/>
        <v>14</v>
      </c>
      <c r="N6" s="6">
        <f t="shared" si="0"/>
        <v>14</v>
      </c>
      <c r="O6" s="6">
        <f t="shared" si="0"/>
        <v>14</v>
      </c>
    </row>
    <row r="7" spans="1:15" x14ac:dyDescent="0.25">
      <c r="A7" s="8">
        <v>15</v>
      </c>
      <c r="B7" s="2">
        <v>24</v>
      </c>
      <c r="C7" s="1" t="s">
        <v>10</v>
      </c>
      <c r="D7" s="1" t="s">
        <v>6</v>
      </c>
      <c r="E7" s="1" t="s">
        <v>12</v>
      </c>
      <c r="F7" s="1" t="s">
        <v>62</v>
      </c>
      <c r="H7" s="6">
        <f t="shared" ref="H7:O34" si="1">(($H$3-1)*(2^24))+(H$4*(2^16))+$A7</f>
        <v>65551</v>
      </c>
      <c r="I7" s="6">
        <f t="shared" si="0"/>
        <v>131087</v>
      </c>
      <c r="J7" s="6">
        <f t="shared" si="0"/>
        <v>15</v>
      </c>
      <c r="K7" s="6">
        <f t="shared" si="0"/>
        <v>15</v>
      </c>
      <c r="L7" s="6">
        <f t="shared" si="0"/>
        <v>15</v>
      </c>
      <c r="M7" s="6">
        <f t="shared" si="0"/>
        <v>15</v>
      </c>
      <c r="N7" s="6">
        <f t="shared" si="0"/>
        <v>15</v>
      </c>
      <c r="O7" s="6">
        <f t="shared" si="0"/>
        <v>15</v>
      </c>
    </row>
    <row r="8" spans="1:15" x14ac:dyDescent="0.25">
      <c r="A8" s="8">
        <v>16</v>
      </c>
      <c r="B8" s="2">
        <v>24</v>
      </c>
      <c r="C8" s="1" t="s">
        <v>10</v>
      </c>
      <c r="D8" s="1" t="s">
        <v>7</v>
      </c>
      <c r="E8" s="1" t="s">
        <v>13</v>
      </c>
      <c r="F8" s="1" t="s">
        <v>62</v>
      </c>
      <c r="H8" s="6">
        <f t="shared" si="1"/>
        <v>65552</v>
      </c>
      <c r="I8" s="6">
        <f t="shared" si="0"/>
        <v>131088</v>
      </c>
      <c r="J8" s="6">
        <f t="shared" si="0"/>
        <v>16</v>
      </c>
      <c r="K8" s="6">
        <f t="shared" si="0"/>
        <v>16</v>
      </c>
      <c r="L8" s="6">
        <f t="shared" si="0"/>
        <v>16</v>
      </c>
      <c r="M8" s="6">
        <f t="shared" si="0"/>
        <v>16</v>
      </c>
      <c r="N8" s="6">
        <f t="shared" si="0"/>
        <v>16</v>
      </c>
      <c r="O8" s="6">
        <f t="shared" si="0"/>
        <v>16</v>
      </c>
    </row>
    <row r="9" spans="1:15" x14ac:dyDescent="0.25">
      <c r="A9" s="8">
        <v>17</v>
      </c>
      <c r="B9" s="2">
        <v>24</v>
      </c>
      <c r="C9" s="1" t="s">
        <v>10</v>
      </c>
      <c r="D9" s="1" t="s">
        <v>8</v>
      </c>
      <c r="E9" s="1" t="s">
        <v>14</v>
      </c>
      <c r="F9" s="1" t="s">
        <v>62</v>
      </c>
      <c r="H9" s="6">
        <f t="shared" si="1"/>
        <v>65553</v>
      </c>
      <c r="I9" s="6">
        <f t="shared" si="0"/>
        <v>131089</v>
      </c>
      <c r="J9" s="6">
        <f t="shared" si="0"/>
        <v>17</v>
      </c>
      <c r="K9" s="6">
        <f t="shared" si="0"/>
        <v>17</v>
      </c>
      <c r="L9" s="6">
        <f t="shared" si="0"/>
        <v>17</v>
      </c>
      <c r="M9" s="6">
        <f t="shared" si="0"/>
        <v>17</v>
      </c>
      <c r="N9" s="6">
        <f t="shared" si="0"/>
        <v>17</v>
      </c>
      <c r="O9" s="6">
        <f t="shared" si="0"/>
        <v>17</v>
      </c>
    </row>
    <row r="10" spans="1:15" x14ac:dyDescent="0.25">
      <c r="A10" s="8">
        <v>18</v>
      </c>
      <c r="B10" s="2">
        <v>24</v>
      </c>
      <c r="C10" s="1" t="s">
        <v>10</v>
      </c>
      <c r="D10" s="1" t="s">
        <v>9</v>
      </c>
      <c r="E10" s="1" t="s">
        <v>15</v>
      </c>
      <c r="F10" s="1" t="s">
        <v>62</v>
      </c>
      <c r="H10" s="6">
        <f t="shared" si="1"/>
        <v>65554</v>
      </c>
      <c r="I10" s="6">
        <f t="shared" si="0"/>
        <v>131090</v>
      </c>
      <c r="J10" s="6">
        <f t="shared" si="0"/>
        <v>18</v>
      </c>
      <c r="K10" s="6">
        <f t="shared" si="0"/>
        <v>18</v>
      </c>
      <c r="L10" s="6">
        <f t="shared" si="0"/>
        <v>18</v>
      </c>
      <c r="M10" s="6">
        <f t="shared" si="0"/>
        <v>18</v>
      </c>
      <c r="N10" s="6">
        <f t="shared" si="0"/>
        <v>18</v>
      </c>
      <c r="O10" s="6">
        <f t="shared" si="0"/>
        <v>18</v>
      </c>
    </row>
    <row r="11" spans="1:15" x14ac:dyDescent="0.25">
      <c r="A11" s="8"/>
      <c r="B11" s="2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>
        <v>275</v>
      </c>
      <c r="B12" s="2">
        <v>2</v>
      </c>
      <c r="C12" s="1" t="s">
        <v>16</v>
      </c>
      <c r="D12" s="1" t="s">
        <v>19</v>
      </c>
      <c r="E12" s="1" t="s">
        <v>20</v>
      </c>
      <c r="F12" s="1" t="s">
        <v>40</v>
      </c>
      <c r="H12" s="6">
        <f t="shared" si="1"/>
        <v>65811</v>
      </c>
      <c r="I12" s="6">
        <f t="shared" si="0"/>
        <v>131347</v>
      </c>
      <c r="J12" s="6">
        <f t="shared" si="0"/>
        <v>275</v>
      </c>
      <c r="K12" s="6">
        <f t="shared" si="0"/>
        <v>275</v>
      </c>
      <c r="L12" s="6">
        <f t="shared" si="0"/>
        <v>275</v>
      </c>
      <c r="M12" s="6">
        <f t="shared" si="0"/>
        <v>275</v>
      </c>
      <c r="N12" s="6">
        <f t="shared" si="0"/>
        <v>275</v>
      </c>
      <c r="O12" s="6">
        <f t="shared" si="0"/>
        <v>275</v>
      </c>
    </row>
    <row r="13" spans="1:15" x14ac:dyDescent="0.25">
      <c r="A13" s="8">
        <v>849</v>
      </c>
      <c r="B13" s="2">
        <v>2</v>
      </c>
      <c r="C13" s="1" t="s">
        <v>77</v>
      </c>
      <c r="D13" s="1" t="s">
        <v>21</v>
      </c>
      <c r="E13" s="1" t="s">
        <v>22</v>
      </c>
      <c r="F13" s="1" t="s">
        <v>63</v>
      </c>
      <c r="H13" s="6">
        <f t="shared" si="1"/>
        <v>66385</v>
      </c>
      <c r="I13" s="6">
        <f t="shared" si="0"/>
        <v>131921</v>
      </c>
      <c r="J13" s="6">
        <f t="shared" si="0"/>
        <v>849</v>
      </c>
      <c r="K13" s="6">
        <f t="shared" si="0"/>
        <v>849</v>
      </c>
      <c r="L13" s="6">
        <f t="shared" si="0"/>
        <v>849</v>
      </c>
      <c r="M13" s="6">
        <f t="shared" si="0"/>
        <v>849</v>
      </c>
      <c r="N13" s="6">
        <f t="shared" si="0"/>
        <v>849</v>
      </c>
      <c r="O13" s="6">
        <f t="shared" si="0"/>
        <v>849</v>
      </c>
    </row>
    <row r="14" spans="1:15" x14ac:dyDescent="0.25">
      <c r="A14" s="8">
        <v>276</v>
      </c>
      <c r="B14" s="2">
        <v>2</v>
      </c>
      <c r="C14" s="1" t="s">
        <v>16</v>
      </c>
      <c r="D14" s="1" t="s">
        <v>23</v>
      </c>
      <c r="E14" s="1" t="s">
        <v>24</v>
      </c>
      <c r="F14" s="1" t="s">
        <v>40</v>
      </c>
      <c r="H14" s="6">
        <f t="shared" si="1"/>
        <v>65812</v>
      </c>
      <c r="I14" s="6">
        <f t="shared" si="0"/>
        <v>131348</v>
      </c>
      <c r="J14" s="6">
        <f t="shared" si="0"/>
        <v>276</v>
      </c>
      <c r="K14" s="6">
        <f t="shared" si="0"/>
        <v>276</v>
      </c>
      <c r="L14" s="6">
        <f t="shared" si="0"/>
        <v>276</v>
      </c>
      <c r="M14" s="6">
        <f t="shared" si="0"/>
        <v>276</v>
      </c>
      <c r="N14" s="6">
        <f t="shared" si="0"/>
        <v>276</v>
      </c>
      <c r="O14" s="6">
        <f t="shared" si="0"/>
        <v>276</v>
      </c>
    </row>
    <row r="15" spans="1:15" x14ac:dyDescent="0.25">
      <c r="A15" s="8">
        <v>278</v>
      </c>
      <c r="B15" s="2">
        <v>2</v>
      </c>
      <c r="C15" s="1" t="s">
        <v>16</v>
      </c>
      <c r="D15" s="1" t="s">
        <v>25</v>
      </c>
      <c r="E15" s="1" t="s">
        <v>26</v>
      </c>
      <c r="F15" s="1" t="s">
        <v>40</v>
      </c>
      <c r="H15" s="6">
        <f t="shared" si="1"/>
        <v>65814</v>
      </c>
      <c r="I15" s="6">
        <f t="shared" si="0"/>
        <v>131350</v>
      </c>
      <c r="J15" s="6">
        <f t="shared" si="0"/>
        <v>278</v>
      </c>
      <c r="K15" s="6">
        <f t="shared" si="0"/>
        <v>278</v>
      </c>
      <c r="L15" s="6">
        <f t="shared" si="0"/>
        <v>278</v>
      </c>
      <c r="M15" s="6">
        <f t="shared" si="0"/>
        <v>278</v>
      </c>
      <c r="N15" s="6">
        <f t="shared" si="0"/>
        <v>278</v>
      </c>
      <c r="O15" s="6">
        <f t="shared" si="0"/>
        <v>278</v>
      </c>
    </row>
    <row r="16" spans="1:15" x14ac:dyDescent="0.25">
      <c r="A16" s="8">
        <v>280</v>
      </c>
      <c r="B16" s="2">
        <v>2</v>
      </c>
      <c r="C16" s="1" t="s">
        <v>16</v>
      </c>
      <c r="D16" s="1" t="s">
        <v>27</v>
      </c>
      <c r="E16" s="1" t="s">
        <v>28</v>
      </c>
      <c r="F16" s="1" t="s">
        <v>40</v>
      </c>
      <c r="H16" s="6">
        <f t="shared" si="1"/>
        <v>65816</v>
      </c>
      <c r="I16" s="6">
        <f t="shared" si="0"/>
        <v>131352</v>
      </c>
      <c r="J16" s="6">
        <f t="shared" si="0"/>
        <v>280</v>
      </c>
      <c r="K16" s="6">
        <f t="shared" si="0"/>
        <v>280</v>
      </c>
      <c r="L16" s="6">
        <f t="shared" si="0"/>
        <v>280</v>
      </c>
      <c r="M16" s="6">
        <f t="shared" si="0"/>
        <v>280</v>
      </c>
      <c r="N16" s="6">
        <f t="shared" si="0"/>
        <v>280</v>
      </c>
      <c r="O16" s="6">
        <f t="shared" si="0"/>
        <v>280</v>
      </c>
    </row>
    <row r="17" spans="1:15" x14ac:dyDescent="0.25">
      <c r="A17" s="8">
        <v>851</v>
      </c>
      <c r="B17" s="2">
        <v>2</v>
      </c>
      <c r="C17" s="1" t="s">
        <v>77</v>
      </c>
      <c r="D17" s="1" t="s">
        <v>43</v>
      </c>
      <c r="E17" s="1" t="s">
        <v>29</v>
      </c>
      <c r="F17" s="1" t="s">
        <v>41</v>
      </c>
      <c r="H17" s="6">
        <f t="shared" si="1"/>
        <v>66387</v>
      </c>
      <c r="I17" s="6">
        <f t="shared" si="0"/>
        <v>131923</v>
      </c>
      <c r="J17" s="6">
        <f t="shared" si="0"/>
        <v>851</v>
      </c>
      <c r="K17" s="6">
        <f t="shared" si="0"/>
        <v>851</v>
      </c>
      <c r="L17" s="6">
        <f t="shared" si="0"/>
        <v>851</v>
      </c>
      <c r="M17" s="6">
        <f t="shared" si="0"/>
        <v>851</v>
      </c>
      <c r="N17" s="6">
        <f t="shared" si="0"/>
        <v>851</v>
      </c>
      <c r="O17" s="6">
        <f t="shared" si="0"/>
        <v>851</v>
      </c>
    </row>
    <row r="18" spans="1:15" x14ac:dyDescent="0.25">
      <c r="A18" s="8">
        <v>853</v>
      </c>
      <c r="B18" s="2">
        <v>2</v>
      </c>
      <c r="C18" s="1" t="s">
        <v>77</v>
      </c>
      <c r="D18" s="1" t="s">
        <v>42</v>
      </c>
      <c r="E18" s="1" t="s">
        <v>31</v>
      </c>
      <c r="F18" s="1" t="s">
        <v>44</v>
      </c>
      <c r="H18" s="6">
        <f t="shared" si="1"/>
        <v>66389</v>
      </c>
      <c r="I18" s="6">
        <f t="shared" si="0"/>
        <v>131925</v>
      </c>
      <c r="J18" s="6">
        <f t="shared" si="0"/>
        <v>853</v>
      </c>
      <c r="K18" s="6">
        <f t="shared" si="0"/>
        <v>853</v>
      </c>
      <c r="L18" s="6">
        <f t="shared" si="0"/>
        <v>853</v>
      </c>
      <c r="M18" s="6">
        <f t="shared" si="0"/>
        <v>853</v>
      </c>
      <c r="N18" s="6">
        <f t="shared" si="0"/>
        <v>853</v>
      </c>
      <c r="O18" s="6">
        <f t="shared" si="0"/>
        <v>853</v>
      </c>
    </row>
    <row r="19" spans="1:15" x14ac:dyDescent="0.25">
      <c r="A19" s="8">
        <v>855</v>
      </c>
      <c r="B19" s="2">
        <v>2</v>
      </c>
      <c r="C19" s="1" t="s">
        <v>77</v>
      </c>
      <c r="D19" s="1" t="s">
        <v>45</v>
      </c>
      <c r="E19" s="1" t="s">
        <v>32</v>
      </c>
      <c r="F19" s="1" t="s">
        <v>44</v>
      </c>
      <c r="H19" s="6">
        <f t="shared" si="1"/>
        <v>66391</v>
      </c>
      <c r="I19" s="6">
        <f t="shared" si="0"/>
        <v>131927</v>
      </c>
      <c r="J19" s="6">
        <f t="shared" si="0"/>
        <v>855</v>
      </c>
      <c r="K19" s="6">
        <f t="shared" si="0"/>
        <v>855</v>
      </c>
      <c r="L19" s="6">
        <f t="shared" si="0"/>
        <v>855</v>
      </c>
      <c r="M19" s="6">
        <f t="shared" si="0"/>
        <v>855</v>
      </c>
      <c r="N19" s="6">
        <f t="shared" si="0"/>
        <v>855</v>
      </c>
      <c r="O19" s="6">
        <f t="shared" si="0"/>
        <v>855</v>
      </c>
    </row>
    <row r="20" spans="1:15" x14ac:dyDescent="0.25">
      <c r="A20" s="8">
        <v>294</v>
      </c>
      <c r="B20" s="2">
        <v>2</v>
      </c>
      <c r="C20" s="1" t="s">
        <v>16</v>
      </c>
      <c r="D20" s="1" t="s">
        <v>46</v>
      </c>
      <c r="E20" s="1" t="s">
        <v>33</v>
      </c>
      <c r="F20" s="1" t="s">
        <v>40</v>
      </c>
      <c r="H20" s="6">
        <f t="shared" si="1"/>
        <v>65830</v>
      </c>
      <c r="I20" s="6">
        <f t="shared" si="0"/>
        <v>131366</v>
      </c>
      <c r="J20" s="6">
        <f t="shared" si="0"/>
        <v>294</v>
      </c>
      <c r="K20" s="6">
        <f t="shared" si="0"/>
        <v>294</v>
      </c>
      <c r="L20" s="6">
        <f t="shared" si="0"/>
        <v>294</v>
      </c>
      <c r="M20" s="6">
        <f t="shared" si="0"/>
        <v>294</v>
      </c>
      <c r="N20" s="6">
        <f t="shared" si="0"/>
        <v>294</v>
      </c>
      <c r="O20" s="6">
        <f t="shared" si="0"/>
        <v>294</v>
      </c>
    </row>
    <row r="21" spans="1:15" x14ac:dyDescent="0.25">
      <c r="A21" s="8">
        <v>282</v>
      </c>
      <c r="B21" s="2">
        <v>2</v>
      </c>
      <c r="C21" s="1" t="s">
        <v>16</v>
      </c>
      <c r="D21" s="1" t="s">
        <v>47</v>
      </c>
      <c r="E21" s="1" t="s">
        <v>34</v>
      </c>
      <c r="F21" s="1" t="s">
        <v>40</v>
      </c>
      <c r="H21" s="6">
        <f t="shared" si="1"/>
        <v>65818</v>
      </c>
      <c r="I21" s="6">
        <f t="shared" si="0"/>
        <v>131354</v>
      </c>
      <c r="J21" s="6">
        <f t="shared" si="0"/>
        <v>282</v>
      </c>
      <c r="K21" s="6">
        <f t="shared" si="0"/>
        <v>282</v>
      </c>
      <c r="L21" s="6">
        <f t="shared" si="0"/>
        <v>282</v>
      </c>
      <c r="M21" s="6">
        <f t="shared" si="0"/>
        <v>282</v>
      </c>
      <c r="N21" s="6">
        <f t="shared" si="0"/>
        <v>282</v>
      </c>
      <c r="O21" s="6">
        <f t="shared" si="0"/>
        <v>282</v>
      </c>
    </row>
    <row r="22" spans="1:15" x14ac:dyDescent="0.25">
      <c r="A22" s="8">
        <v>861</v>
      </c>
      <c r="B22" s="2">
        <v>2</v>
      </c>
      <c r="C22" s="1" t="s">
        <v>77</v>
      </c>
      <c r="D22" s="1" t="s">
        <v>70</v>
      </c>
      <c r="E22" s="1" t="s">
        <v>71</v>
      </c>
      <c r="F22" s="1" t="s">
        <v>41</v>
      </c>
      <c r="H22" s="6">
        <f t="shared" si="1"/>
        <v>66397</v>
      </c>
      <c r="I22" s="6">
        <f t="shared" si="0"/>
        <v>131933</v>
      </c>
      <c r="J22" s="6">
        <f t="shared" si="0"/>
        <v>861</v>
      </c>
      <c r="K22" s="6">
        <f t="shared" si="0"/>
        <v>861</v>
      </c>
      <c r="L22" s="6">
        <f t="shared" si="0"/>
        <v>861</v>
      </c>
      <c r="M22" s="6">
        <f t="shared" si="0"/>
        <v>861</v>
      </c>
      <c r="N22" s="6">
        <f t="shared" si="0"/>
        <v>861</v>
      </c>
      <c r="O22" s="6">
        <f t="shared" si="0"/>
        <v>861</v>
      </c>
    </row>
    <row r="23" spans="1:15" x14ac:dyDescent="0.25">
      <c r="A23" s="8">
        <v>863</v>
      </c>
      <c r="B23" s="2">
        <v>2</v>
      </c>
      <c r="C23" s="1" t="s">
        <v>77</v>
      </c>
      <c r="D23" s="1" t="s">
        <v>72</v>
      </c>
      <c r="E23" s="1" t="s">
        <v>73</v>
      </c>
      <c r="F23" s="1" t="s">
        <v>51</v>
      </c>
      <c r="H23" s="6">
        <f t="shared" si="1"/>
        <v>66399</v>
      </c>
      <c r="I23" s="6">
        <f t="shared" si="0"/>
        <v>131935</v>
      </c>
      <c r="J23" s="6">
        <f t="shared" si="0"/>
        <v>863</v>
      </c>
      <c r="K23" s="6">
        <f t="shared" si="0"/>
        <v>863</v>
      </c>
      <c r="L23" s="6">
        <f t="shared" si="0"/>
        <v>863</v>
      </c>
      <c r="M23" s="6">
        <f t="shared" si="0"/>
        <v>863</v>
      </c>
      <c r="N23" s="6">
        <f t="shared" si="0"/>
        <v>863</v>
      </c>
      <c r="O23" s="6">
        <f t="shared" si="0"/>
        <v>863</v>
      </c>
    </row>
    <row r="24" spans="1:15" x14ac:dyDescent="0.25">
      <c r="A24" s="8">
        <v>868</v>
      </c>
      <c r="B24" s="2">
        <v>2</v>
      </c>
      <c r="C24" s="1" t="s">
        <v>77</v>
      </c>
      <c r="D24" s="1" t="s">
        <v>48</v>
      </c>
      <c r="E24" s="1" t="s">
        <v>35</v>
      </c>
      <c r="F24" s="1" t="s">
        <v>51</v>
      </c>
      <c r="H24" s="6">
        <f t="shared" si="1"/>
        <v>66404</v>
      </c>
      <c r="I24" s="6">
        <f t="shared" si="1"/>
        <v>131940</v>
      </c>
      <c r="J24" s="6">
        <f t="shared" si="1"/>
        <v>868</v>
      </c>
      <c r="K24" s="6">
        <f t="shared" si="1"/>
        <v>868</v>
      </c>
      <c r="L24" s="6">
        <f t="shared" si="1"/>
        <v>868</v>
      </c>
      <c r="M24" s="6">
        <f t="shared" si="1"/>
        <v>868</v>
      </c>
      <c r="N24" s="6">
        <f t="shared" si="1"/>
        <v>868</v>
      </c>
      <c r="O24" s="6">
        <f t="shared" si="1"/>
        <v>868</v>
      </c>
    </row>
    <row r="25" spans="1:15" x14ac:dyDescent="0.25">
      <c r="A25" s="8">
        <v>284</v>
      </c>
      <c r="B25" s="2">
        <v>2</v>
      </c>
      <c r="C25" s="1" t="s">
        <v>16</v>
      </c>
      <c r="D25" s="1" t="s">
        <v>69</v>
      </c>
      <c r="E25" s="1" t="s">
        <v>36</v>
      </c>
      <c r="F25" s="1" t="s">
        <v>40</v>
      </c>
      <c r="H25" s="6">
        <f t="shared" si="1"/>
        <v>65820</v>
      </c>
      <c r="I25" s="6">
        <f t="shared" si="1"/>
        <v>131356</v>
      </c>
      <c r="J25" s="6">
        <f t="shared" si="1"/>
        <v>284</v>
      </c>
      <c r="K25" s="6">
        <f t="shared" si="1"/>
        <v>284</v>
      </c>
      <c r="L25" s="6">
        <f t="shared" si="1"/>
        <v>284</v>
      </c>
      <c r="M25" s="6">
        <f t="shared" si="1"/>
        <v>284</v>
      </c>
      <c r="N25" s="6">
        <f t="shared" si="1"/>
        <v>284</v>
      </c>
      <c r="O25" s="6">
        <f t="shared" si="1"/>
        <v>284</v>
      </c>
    </row>
    <row r="26" spans="1:15" x14ac:dyDescent="0.25">
      <c r="A26" s="8">
        <v>866</v>
      </c>
      <c r="B26" s="2">
        <v>2</v>
      </c>
      <c r="C26" s="1" t="s">
        <v>16</v>
      </c>
      <c r="D26" s="1" t="s">
        <v>52</v>
      </c>
      <c r="E26" s="1" t="s">
        <v>37</v>
      </c>
      <c r="F26" s="1" t="s">
        <v>41</v>
      </c>
      <c r="H26" s="6">
        <f t="shared" si="1"/>
        <v>66402</v>
      </c>
      <c r="I26" s="6">
        <f t="shared" si="1"/>
        <v>131938</v>
      </c>
      <c r="J26" s="6">
        <f t="shared" si="1"/>
        <v>866</v>
      </c>
      <c r="K26" s="6">
        <f t="shared" si="1"/>
        <v>866</v>
      </c>
      <c r="L26" s="6">
        <f t="shared" si="1"/>
        <v>866</v>
      </c>
      <c r="M26" s="6">
        <f t="shared" si="1"/>
        <v>866</v>
      </c>
      <c r="N26" s="6">
        <f t="shared" si="1"/>
        <v>866</v>
      </c>
      <c r="O26" s="6">
        <f t="shared" si="1"/>
        <v>866</v>
      </c>
    </row>
    <row r="27" spans="1:15" x14ac:dyDescent="0.25">
      <c r="A27" s="8">
        <v>840</v>
      </c>
      <c r="B27" s="2">
        <v>2</v>
      </c>
      <c r="C27" s="1" t="s">
        <v>77</v>
      </c>
      <c r="D27" s="1" t="s">
        <v>49</v>
      </c>
      <c r="E27" s="1" t="s">
        <v>38</v>
      </c>
      <c r="F27" s="1" t="s">
        <v>51</v>
      </c>
      <c r="H27" s="6">
        <f t="shared" si="1"/>
        <v>66376</v>
      </c>
      <c r="I27" s="6">
        <f t="shared" si="1"/>
        <v>131912</v>
      </c>
      <c r="J27" s="6">
        <f t="shared" si="1"/>
        <v>840</v>
      </c>
      <c r="K27" s="6">
        <f t="shared" si="1"/>
        <v>840</v>
      </c>
      <c r="L27" s="6">
        <f t="shared" si="1"/>
        <v>840</v>
      </c>
      <c r="M27" s="6">
        <f t="shared" si="1"/>
        <v>840</v>
      </c>
      <c r="N27" s="6">
        <f t="shared" si="1"/>
        <v>840</v>
      </c>
      <c r="O27" s="6">
        <f t="shared" si="1"/>
        <v>840</v>
      </c>
    </row>
    <row r="28" spans="1:15" x14ac:dyDescent="0.25">
      <c r="A28" s="8">
        <v>839</v>
      </c>
      <c r="B28" s="2">
        <v>2</v>
      </c>
      <c r="C28" s="1" t="s">
        <v>77</v>
      </c>
      <c r="D28" s="1" t="s">
        <v>50</v>
      </c>
      <c r="E28" s="1" t="s">
        <v>39</v>
      </c>
      <c r="F28" s="1" t="s">
        <v>51</v>
      </c>
      <c r="H28" s="6">
        <f t="shared" si="1"/>
        <v>66375</v>
      </c>
      <c r="I28" s="6">
        <f t="shared" si="1"/>
        <v>131911</v>
      </c>
      <c r="J28" s="6">
        <f t="shared" si="1"/>
        <v>839</v>
      </c>
      <c r="K28" s="6">
        <f t="shared" si="1"/>
        <v>839</v>
      </c>
      <c r="L28" s="6">
        <f t="shared" si="1"/>
        <v>839</v>
      </c>
      <c r="M28" s="6">
        <f t="shared" si="1"/>
        <v>839</v>
      </c>
      <c r="N28" s="6">
        <f t="shared" si="1"/>
        <v>839</v>
      </c>
      <c r="O28" s="6">
        <f t="shared" si="1"/>
        <v>839</v>
      </c>
    </row>
    <row r="29" spans="1:15" x14ac:dyDescent="0.25">
      <c r="A29" s="8">
        <v>1071</v>
      </c>
      <c r="B29" s="2">
        <v>4</v>
      </c>
      <c r="C29" s="1" t="s">
        <v>55</v>
      </c>
      <c r="D29" s="1" t="s">
        <v>74</v>
      </c>
      <c r="E29" s="1" t="s">
        <v>75</v>
      </c>
      <c r="F29" s="1" t="s">
        <v>76</v>
      </c>
      <c r="H29" s="6">
        <f t="shared" si="1"/>
        <v>66607</v>
      </c>
      <c r="I29" s="6">
        <f t="shared" si="1"/>
        <v>132143</v>
      </c>
      <c r="J29" s="6">
        <f t="shared" si="1"/>
        <v>1071</v>
      </c>
      <c r="K29" s="6">
        <f t="shared" si="1"/>
        <v>1071</v>
      </c>
      <c r="L29" s="6">
        <f t="shared" si="1"/>
        <v>1071</v>
      </c>
      <c r="M29" s="6">
        <f t="shared" si="1"/>
        <v>1071</v>
      </c>
      <c r="N29" s="6">
        <f t="shared" si="1"/>
        <v>1071</v>
      </c>
      <c r="O29" s="6">
        <f t="shared" si="1"/>
        <v>1071</v>
      </c>
    </row>
    <row r="30" spans="1:15" x14ac:dyDescent="0.25">
      <c r="A30" s="8"/>
      <c r="B30" s="2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>
        <v>257</v>
      </c>
      <c r="B31" s="2">
        <v>2</v>
      </c>
      <c r="C31" s="1" t="s">
        <v>16</v>
      </c>
      <c r="D31" s="1" t="s">
        <v>17</v>
      </c>
      <c r="E31" s="1" t="s">
        <v>18</v>
      </c>
      <c r="H31" s="6">
        <f t="shared" si="1"/>
        <v>65793</v>
      </c>
      <c r="I31" s="6">
        <f t="shared" si="1"/>
        <v>131329</v>
      </c>
      <c r="J31" s="6">
        <f t="shared" si="1"/>
        <v>257</v>
      </c>
      <c r="K31" s="6">
        <f t="shared" si="1"/>
        <v>257</v>
      </c>
      <c r="L31" s="6">
        <f t="shared" si="1"/>
        <v>257</v>
      </c>
      <c r="M31" s="6">
        <f t="shared" si="1"/>
        <v>257</v>
      </c>
      <c r="N31" s="6">
        <f t="shared" si="1"/>
        <v>257</v>
      </c>
      <c r="O31" s="6">
        <f t="shared" si="1"/>
        <v>257</v>
      </c>
    </row>
    <row r="32" spans="1:15" x14ac:dyDescent="0.25">
      <c r="A32" s="8">
        <v>796</v>
      </c>
      <c r="B32" s="2">
        <v>2</v>
      </c>
      <c r="C32" s="1" t="s">
        <v>77</v>
      </c>
      <c r="D32" s="1" t="s">
        <v>53</v>
      </c>
      <c r="E32" s="1" t="s">
        <v>54</v>
      </c>
      <c r="F32" s="1" t="s">
        <v>44</v>
      </c>
      <c r="H32" s="6">
        <f t="shared" si="1"/>
        <v>66332</v>
      </c>
      <c r="I32" s="6">
        <f t="shared" si="1"/>
        <v>131868</v>
      </c>
      <c r="J32" s="6">
        <f t="shared" si="1"/>
        <v>796</v>
      </c>
      <c r="K32" s="6">
        <f t="shared" si="1"/>
        <v>796</v>
      </c>
      <c r="L32" s="6">
        <f t="shared" si="1"/>
        <v>796</v>
      </c>
      <c r="M32" s="6">
        <f t="shared" si="1"/>
        <v>796</v>
      </c>
      <c r="N32" s="6">
        <f t="shared" si="1"/>
        <v>796</v>
      </c>
      <c r="O32" s="6">
        <f t="shared" si="1"/>
        <v>796</v>
      </c>
    </row>
    <row r="33" spans="1:15" x14ac:dyDescent="0.25">
      <c r="A33" s="8">
        <v>1056</v>
      </c>
      <c r="B33" s="2">
        <v>4</v>
      </c>
      <c r="C33" s="1" t="s">
        <v>55</v>
      </c>
      <c r="D33" s="1" t="s">
        <v>56</v>
      </c>
      <c r="E33" s="1" t="s">
        <v>57</v>
      </c>
      <c r="F33" s="1" t="s">
        <v>68</v>
      </c>
      <c r="H33" s="6">
        <f t="shared" si="1"/>
        <v>66592</v>
      </c>
      <c r="I33" s="6">
        <f t="shared" si="1"/>
        <v>132128</v>
      </c>
      <c r="J33" s="6">
        <f t="shared" si="1"/>
        <v>1056</v>
      </c>
      <c r="K33" s="6">
        <f t="shared" si="1"/>
        <v>1056</v>
      </c>
      <c r="L33" s="6">
        <f t="shared" si="1"/>
        <v>1056</v>
      </c>
      <c r="M33" s="6">
        <f t="shared" si="1"/>
        <v>1056</v>
      </c>
      <c r="N33" s="6">
        <f t="shared" si="1"/>
        <v>1056</v>
      </c>
      <c r="O33" s="6">
        <f t="shared" si="1"/>
        <v>1056</v>
      </c>
    </row>
    <row r="34" spans="1:15" x14ac:dyDescent="0.25">
      <c r="A34" s="8">
        <v>1058</v>
      </c>
      <c r="B34" s="2">
        <v>4</v>
      </c>
      <c r="C34" s="1" t="s">
        <v>55</v>
      </c>
      <c r="D34" s="1" t="s">
        <v>65</v>
      </c>
      <c r="E34" s="1" t="s">
        <v>66</v>
      </c>
      <c r="F34" s="1" t="s">
        <v>67</v>
      </c>
      <c r="H34" s="6">
        <f t="shared" si="1"/>
        <v>66594</v>
      </c>
      <c r="I34" s="6">
        <f t="shared" si="1"/>
        <v>132130</v>
      </c>
      <c r="J34" s="6">
        <f t="shared" si="1"/>
        <v>1058</v>
      </c>
      <c r="K34" s="6">
        <f t="shared" si="1"/>
        <v>1058</v>
      </c>
      <c r="L34" s="6">
        <f t="shared" si="1"/>
        <v>1058</v>
      </c>
      <c r="M34" s="6">
        <f t="shared" si="1"/>
        <v>1058</v>
      </c>
      <c r="N34" s="6">
        <f t="shared" si="1"/>
        <v>1058</v>
      </c>
      <c r="O34" s="6">
        <f t="shared" si="1"/>
        <v>1058</v>
      </c>
    </row>
    <row r="35" spans="1:15" x14ac:dyDescent="0.25">
      <c r="B35" s="2"/>
    </row>
    <row r="36" spans="1:15" x14ac:dyDescent="0.25">
      <c r="B36" s="2"/>
    </row>
    <row r="37" spans="1:15" x14ac:dyDescent="0.25">
      <c r="B37" s="2"/>
    </row>
    <row r="38" spans="1:15" x14ac:dyDescent="0.25">
      <c r="B38" s="2"/>
    </row>
    <row r="39" spans="1:15" x14ac:dyDescent="0.25">
      <c r="B39" s="2"/>
    </row>
    <row r="40" spans="1:15" x14ac:dyDescent="0.25">
      <c r="B40" s="2"/>
    </row>
    <row r="41" spans="1:15" x14ac:dyDescent="0.25">
      <c r="B41" s="2"/>
    </row>
    <row r="42" spans="1:15" x14ac:dyDescent="0.25">
      <c r="B42" s="2"/>
    </row>
    <row r="43" spans="1:15" x14ac:dyDescent="0.25">
      <c r="B43" s="2"/>
    </row>
    <row r="44" spans="1:15" x14ac:dyDescent="0.25">
      <c r="B44" s="2"/>
    </row>
    <row r="45" spans="1:15" x14ac:dyDescent="0.25">
      <c r="B45" s="2"/>
    </row>
    <row r="46" spans="1:15" x14ac:dyDescent="0.25">
      <c r="B46" s="2"/>
    </row>
    <row r="47" spans="1:15" x14ac:dyDescent="0.25">
      <c r="B47" s="2"/>
    </row>
  </sheetData>
  <mergeCells count="3">
    <mergeCell ref="H3:O3"/>
    <mergeCell ref="H2:O2"/>
    <mergeCell ref="H1:O1"/>
  </mergeCells>
  <dataValidations count="3">
    <dataValidation type="whole" allowBlank="1" showInputMessage="1" showErrorMessage="1" promptTitle="COM Port" prompt="Specify COM Port, 1 through 8." sqref="H3:O3" xr:uid="{CD74FBC1-3F0A-42C3-8200-D07F77E51375}">
      <formula1>1</formula1>
      <formula2>8</formula2>
    </dataValidation>
    <dataValidation allowBlank="1" showInputMessage="1" showErrorMessage="1" promptTitle="IP Address" prompt="Input IP Address if Intellgen NCS_x000a_Recommended port number: 4000" sqref="H2:O2" xr:uid="{A4A6C1C9-373E-42B2-AE2D-0EDB947B001B}"/>
    <dataValidation type="whole" allowBlank="1" showInputMessage="1" showErrorMessage="1" promptTitle="RS422 Address" prompt="Specify Pump Interface RS422 Address_x000a_1 to 63" sqref="H4:O4" xr:uid="{10F4CFDB-9B8F-4BBF-B777-F42BF417914A}">
      <formula1>1</formula1>
      <formula2>63</formula2>
    </dataValidation>
  </dataValidations>
  <pageMargins left="0.7" right="0.7" top="0.75" bottom="0.75" header="0.3" footer="0.3"/>
  <pageSetup orientation="portrait" r:id="rId1"/>
  <headerFooter>
    <oddFooter>&amp;C_x000D_&amp;1#&amp;"Calibri"&amp;10&amp;K000000 ENTEGRIS PROPRIETARY AND CONFIDENTIAL –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Anderson</dc:creator>
  <cp:lastModifiedBy>Karl Anderson</cp:lastModifiedBy>
  <dcterms:created xsi:type="dcterms:W3CDTF">2020-07-29T14:17:45Z</dcterms:created>
  <dcterms:modified xsi:type="dcterms:W3CDTF">2025-08-19T15:32:54Z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0bcce-d4df-47e1-9234-cfe82b789499_Enabled">
    <vt:lpwstr>true</vt:lpwstr>
  </property>
  <property fmtid="{D5CDD505-2E9C-101B-9397-08002B2CF9AE}" pid="3" name="MSIP_Label_ce60bcce-d4df-47e1-9234-cfe82b789499_SetDate">
    <vt:lpwstr>2025-08-19T15:32:54Z</vt:lpwstr>
  </property>
  <property fmtid="{D5CDD505-2E9C-101B-9397-08002B2CF9AE}" pid="4" name="MSIP_Label_ce60bcce-d4df-47e1-9234-cfe82b789499_Method">
    <vt:lpwstr>Standard</vt:lpwstr>
  </property>
  <property fmtid="{D5CDD505-2E9C-101B-9397-08002B2CF9AE}" pid="5" name="MSIP_Label_ce60bcce-d4df-47e1-9234-cfe82b789499_Name">
    <vt:lpwstr>ce60bcce-d4df-47e1-9234-cfe82b789499</vt:lpwstr>
  </property>
  <property fmtid="{D5CDD505-2E9C-101B-9397-08002B2CF9AE}" pid="6" name="MSIP_Label_ce60bcce-d4df-47e1-9234-cfe82b789499_SiteId">
    <vt:lpwstr>4494342c-10c2-46ae-a60c-c172122e8b05</vt:lpwstr>
  </property>
  <property fmtid="{D5CDD505-2E9C-101B-9397-08002B2CF9AE}" pid="7" name="MSIP_Label_ce60bcce-d4df-47e1-9234-cfe82b789499_ActionId">
    <vt:lpwstr>e118b1d8-0720-4d86-9f3e-47e727db084d</vt:lpwstr>
  </property>
  <property fmtid="{D5CDD505-2E9C-101B-9397-08002B2CF9AE}" pid="8" name="MSIP_Label_ce60bcce-d4df-47e1-9234-cfe82b789499_ContentBits">
    <vt:lpwstr>2</vt:lpwstr>
  </property>
  <property fmtid="{D5CDD505-2E9C-101B-9397-08002B2CF9AE}" pid="9" name="MSIP_Label_ce60bcce-d4df-47e1-9234-cfe82b789499_Tag">
    <vt:lpwstr>10, 3, 0, 1</vt:lpwstr>
  </property>
</Properties>
</file>